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Budget" sheetId="1" state="visible" r:id="rId1"/>
    <sheet xmlns:r="http://schemas.openxmlformats.org/officeDocument/2006/relationships" name="Annual Projection" sheetId="2" state="visible" r:id="rId2"/>
    <sheet xmlns:r="http://schemas.openxmlformats.org/officeDocument/2006/relationships" name="Startup Co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color rgb="00000000"/>
    </font>
    <font>
      <name val="Arial"/>
    </font>
    <font>
      <name val="Arial"/>
      <color rgb="000000FF"/>
    </font>
    <font>
      <name val="Arial"/>
      <b val="1"/>
    </font>
    <font>
      <name val="Arial"/>
      <b val="1"/>
      <sz val="12"/>
    </font>
  </fonts>
  <fills count="7">
    <fill>
      <patternFill/>
    </fill>
    <fill>
      <patternFill patternType="gray125"/>
    </fill>
    <fill>
      <patternFill patternType="solid">
        <fgColor rgb="00D4A853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3" fontId="5" fillId="3" borderId="1" pivotButton="0" quotePrefix="0" xfId="0"/>
    <xf numFmtId="0" fontId="6" fillId="0" borderId="0" pivotButton="0" quotePrefix="0" xfId="0"/>
    <xf numFmtId="3" fontId="6" fillId="4" borderId="0" pivotButton="0" quotePrefix="0" xfId="0"/>
    <xf numFmtId="0" fontId="7" fillId="0" borderId="0" pivotButton="0" quotePrefix="0" xfId="0"/>
    <xf numFmtId="3" fontId="7" fillId="5" borderId="0" pivotButton="0" quotePrefix="0" xfId="0"/>
    <xf numFmtId="3" fontId="6" fillId="0" borderId="0" pivotButton="0" quotePrefix="0" xfId="0"/>
    <xf numFmtId="3" fontId="7" fillId="6" borderId="0" pivotButton="0" quotePrefix="0" xfId="0"/>
    <xf numFmtId="3" fontId="0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6" customWidth="1" min="3" max="3"/>
    <col width="48" customWidth="1" min="4" max="4"/>
  </cols>
  <sheetData>
    <row r="1">
      <c r="A1" s="1" t="inlineStr">
        <is>
          <t>IronMen Halfway House — Monthly Operating Budget</t>
        </is>
      </c>
    </row>
    <row r="2">
      <c r="A2" s="2" t="inlineStr">
        <is>
          <t>Capacity: 10 residents | 90-day cohorts | Currency: KES | Prepared: June 18, 2026</t>
        </is>
      </c>
    </row>
    <row r="4">
      <c r="A4" s="3" t="inlineStr">
        <is>
          <t>Category</t>
        </is>
      </c>
      <c r="B4" s="3" t="inlineStr">
        <is>
          <t>Line Item</t>
        </is>
      </c>
      <c r="C4" s="3" t="inlineStr">
        <is>
          <t>Monthly (KES)</t>
        </is>
      </c>
      <c r="D4" s="3" t="inlineStr">
        <is>
          <t>Notes / Assumption</t>
        </is>
      </c>
    </row>
    <row r="5">
      <c r="A5" s="4" t="inlineStr">
        <is>
          <t>Facility</t>
        </is>
      </c>
      <c r="B5" s="4" t="inlineStr">
        <is>
          <t>Rent / Lease</t>
        </is>
      </c>
      <c r="C5" s="5" t="n">
        <v>120000</v>
      </c>
      <c r="D5" s="4" t="inlineStr">
        <is>
          <t>3-4 bedroom house or converted facility, Nairobi satellite town</t>
        </is>
      </c>
    </row>
    <row r="6">
      <c r="A6" s="4" t="inlineStr">
        <is>
          <t>Facility</t>
        </is>
      </c>
      <c r="B6" s="4" t="inlineStr">
        <is>
          <t>Electricity</t>
        </is>
      </c>
      <c r="C6" s="5" t="n">
        <v>15000</v>
      </c>
      <c r="D6" s="4" t="inlineStr">
        <is>
          <t>10 residents + staff; solar reduces long-term</t>
        </is>
      </c>
    </row>
    <row r="7">
      <c r="A7" s="4" t="inlineStr">
        <is>
          <t>Facility</t>
        </is>
      </c>
      <c r="B7" s="4" t="inlineStr">
        <is>
          <t>Water &amp; Sewer</t>
        </is>
      </c>
      <c r="C7" s="5" t="n">
        <v>5000</v>
      </c>
      <c r="D7" s="4" t="inlineStr">
        <is>
          <t>Municipal supply</t>
        </is>
      </c>
    </row>
    <row r="8">
      <c r="A8" s="4" t="inlineStr">
        <is>
          <t>Facility</t>
        </is>
      </c>
      <c r="B8" s="4" t="inlineStr">
        <is>
          <t>Internet &amp; WiFi</t>
        </is>
      </c>
      <c r="C8" s="5" t="n">
        <v>5000</v>
      </c>
      <c r="D8" s="4" t="inlineStr">
        <is>
          <t>Training, job search, communication</t>
        </is>
      </c>
    </row>
    <row r="9">
      <c r="A9" s="4" t="inlineStr">
        <is>
          <t>Facility</t>
        </is>
      </c>
      <c r="B9" s="4" t="inlineStr">
        <is>
          <t>Maintenance &amp; Repairs</t>
        </is>
      </c>
      <c r="C9" s="5" t="n">
        <v>10000</v>
      </c>
      <c r="D9" s="4" t="inlineStr">
        <is>
          <t>Plumbing, paint, furniture, contingency</t>
        </is>
      </c>
    </row>
    <row r="10">
      <c r="A10" s="4" t="inlineStr">
        <is>
          <t>Facility</t>
        </is>
      </c>
      <c r="B10" s="4" t="inlineStr">
        <is>
          <t>Insurance (property/liability)</t>
        </is>
      </c>
      <c r="C10" s="5" t="n">
        <v>8000</v>
      </c>
      <c r="D10" s="4" t="inlineStr">
        <is>
          <t>Essential for safeguarding organisation</t>
        </is>
      </c>
    </row>
    <row r="11">
      <c r="A11" s="4" t="inlineStr">
        <is>
          <t>Food</t>
        </is>
      </c>
      <c r="B11" s="4" t="inlineStr">
        <is>
          <t>Groceries (10 residents)</t>
        </is>
      </c>
      <c r="C11" s="5" t="n">
        <v>90000</v>
      </c>
      <c r="D11" s="4" t="inlineStr">
        <is>
          <t>3 meals/day; KES 300/day per resident</t>
        </is>
      </c>
    </row>
    <row r="12">
      <c r="A12" s="4" t="inlineStr">
        <is>
          <t>Food</t>
        </is>
      </c>
      <c r="B12" s="4" t="inlineStr">
        <is>
          <t>Cooking gas &amp; supplies</t>
        </is>
      </c>
      <c r="C12" s="5" t="n">
        <v>8000</v>
      </c>
      <c r="D12" s="4" t="inlineStr">
        <is>
          <t>Gas, oil, spices, utensils replacement</t>
        </is>
      </c>
    </row>
    <row r="13">
      <c r="A13" s="4" t="inlineStr">
        <is>
          <t>Staff</t>
        </is>
      </c>
      <c r="B13" s="4" t="inlineStr">
        <is>
          <t>House Director stipend</t>
        </is>
      </c>
      <c r="C13" s="5" t="n">
        <v>50000</v>
      </c>
      <c r="D13" s="4" t="inlineStr">
        <is>
          <t>May be volunteer; budget for sustainability</t>
        </is>
      </c>
    </row>
    <row r="14">
      <c r="A14" s="4" t="inlineStr">
        <is>
          <t>Staff</t>
        </is>
      </c>
      <c r="B14" s="4" t="inlineStr">
        <is>
          <t>Mentors (2 x stipend)</t>
        </is>
      </c>
      <c r="C14" s="5" t="n">
        <v>60000</v>
      </c>
      <c r="D14" s="4" t="inlineStr">
        <is>
          <t>KES 30,000 each; may be volunteer</t>
        </is>
      </c>
    </row>
    <row r="15">
      <c r="A15" s="4" t="inlineStr">
        <is>
          <t>Staff</t>
        </is>
      </c>
      <c r="B15" s="4" t="inlineStr">
        <is>
          <t>Security (night watch)</t>
        </is>
      </c>
      <c r="C15" s="5" t="n">
        <v>20000</v>
      </c>
      <c r="D15" s="4" t="inlineStr">
        <is>
          <t>Optional but recommended</t>
        </is>
      </c>
    </row>
    <row r="16">
      <c r="A16" s="4" t="inlineStr">
        <is>
          <t>Staff</t>
        </is>
      </c>
      <c r="B16" s="4" t="inlineStr">
        <is>
          <t>Part-time cook/cleaner</t>
        </is>
      </c>
      <c r="C16" s="5" t="n">
        <v>25000</v>
      </c>
      <c r="D16" s="4" t="inlineStr">
        <is>
          <t>Rotating chores reduce need; backup support</t>
        </is>
      </c>
    </row>
    <row r="17">
      <c r="A17" s="4" t="inlineStr">
        <is>
          <t>Program</t>
        </is>
      </c>
      <c r="B17" s="4" t="inlineStr">
        <is>
          <t>Training materials &amp; books</t>
        </is>
      </c>
      <c r="C17" s="5" t="n">
        <v>8000</v>
      </c>
      <c r="D17" s="4" t="inlineStr">
        <is>
          <t>Bibles, workbooks, hygiene kits</t>
        </is>
      </c>
    </row>
    <row r="18">
      <c r="A18" s="4" t="inlineStr">
        <is>
          <t>Program</t>
        </is>
      </c>
      <c r="B18" s="4" t="inlineStr">
        <is>
          <t>Fitness equipment upkeep</t>
        </is>
      </c>
      <c r="C18" s="5" t="n">
        <v>5000</v>
      </c>
      <c r="D18" s="4" t="inlineStr">
        <is>
          <t>Mats, weights, sports gear</t>
        </is>
      </c>
    </row>
    <row r="19">
      <c r="A19" s="4" t="inlineStr">
        <is>
          <t>Program</t>
        </is>
      </c>
      <c r="B19" s="4" t="inlineStr">
        <is>
          <t>Transport (site visits, church)</t>
        </is>
      </c>
      <c r="C19" s="5" t="n">
        <v>15000</v>
      </c>
      <c r="D19" s="4" t="inlineStr">
        <is>
          <t>Matatu/group transport for outings</t>
        </is>
      </c>
    </row>
    <row r="20">
      <c r="A20" s="4" t="inlineStr">
        <is>
          <t>Program</t>
        </is>
      </c>
      <c r="B20" s="4" t="inlineStr">
        <is>
          <t>Medical / first aid</t>
        </is>
      </c>
      <c r="C20" s="5" t="n">
        <v>5000</v>
      </c>
      <c r="D20" s="4" t="inlineStr">
        <is>
          <t>First aid, basic meds, health emergencies</t>
        </is>
      </c>
    </row>
    <row r="21">
      <c r="A21" s="4" t="inlineStr">
        <is>
          <t>Program</t>
        </is>
      </c>
      <c r="B21" s="4" t="inlineStr">
        <is>
          <t>Drug testing kits</t>
        </is>
      </c>
      <c r="C21" s="5" t="n">
        <v>3000</v>
      </c>
      <c r="D21" s="4" t="inlineStr">
        <is>
          <t>Random screening</t>
        </is>
      </c>
    </row>
    <row r="22">
      <c r="A22" s="4" t="inlineStr">
        <is>
          <t>Program</t>
        </is>
      </c>
      <c r="B22" s="4" t="inlineStr">
        <is>
          <t>Graduation &amp; intake events</t>
        </is>
      </c>
      <c r="C22" s="5" t="n">
        <v>5000</v>
      </c>
      <c r="D22" s="4" t="inlineStr">
        <is>
          <t>Certificates, meals, ceremony costs</t>
        </is>
      </c>
    </row>
    <row r="23">
      <c r="A23" s="4" t="inlineStr">
        <is>
          <t>Admin</t>
        </is>
      </c>
      <c r="B23" s="4" t="inlineStr">
        <is>
          <t>Office supplies &amp; printing</t>
        </is>
      </c>
      <c r="C23" s="5" t="n">
        <v>4000</v>
      </c>
      <c r="D23" s="4" t="inlineStr">
        <is>
          <t>Forms, reports, documentation</t>
        </is>
      </c>
    </row>
    <row r="24">
      <c r="A24" s="4" t="inlineStr">
        <is>
          <t>Admin</t>
        </is>
      </c>
      <c r="B24" s="4" t="inlineStr">
        <is>
          <t>Communication (airtime)</t>
        </is>
      </c>
      <c r="C24" s="5" t="n">
        <v>3000</v>
      </c>
      <c r="D24" s="4" t="inlineStr">
        <is>
          <t>Staff coordination</t>
        </is>
      </c>
    </row>
    <row r="25">
      <c r="A25" s="4" t="inlineStr">
        <is>
          <t>Admin</t>
        </is>
      </c>
      <c r="B25" s="4" t="inlineStr">
        <is>
          <t>Legal &amp; registration fees</t>
        </is>
      </c>
      <c r="C25" s="5" t="n">
        <v>5000</v>
      </c>
      <c r="D25" s="4" t="inlineStr">
        <is>
          <t>Amortised monthly; NGO/CBO compliance</t>
        </is>
      </c>
    </row>
    <row r="26">
      <c r="A26" s="4" t="inlineStr">
        <is>
          <t>Admin</t>
        </is>
      </c>
      <c r="B26" s="4" t="inlineStr">
        <is>
          <t>Bank charges &amp; misc</t>
        </is>
      </c>
      <c r="C26" s="5" t="n">
        <v>2000</v>
      </c>
      <c r="D26" s="4" t="inlineStr">
        <is>
          <t>Transaction fees</t>
        </is>
      </c>
    </row>
    <row r="27">
      <c r="A27" s="4" t="inlineStr">
        <is>
          <t>Contingency</t>
        </is>
      </c>
      <c r="B27" s="4" t="inlineStr">
        <is>
          <t>Emergency reserve (10%)</t>
        </is>
      </c>
      <c r="C27" s="5" t="n">
        <v>0</v>
      </c>
      <c r="D27" s="4" t="inlineStr">
        <is>
          <t>Auto-calculated below total</t>
        </is>
      </c>
    </row>
    <row r="28">
      <c r="B28" s="6" t="inlineStr">
        <is>
          <t>SUBTOTAL</t>
        </is>
      </c>
      <c r="C28" s="7">
        <f>SUM(C5:C27)</f>
        <v/>
      </c>
    </row>
    <row r="29">
      <c r="B29" s="6" t="inlineStr">
        <is>
          <t>Contingency (10%)</t>
        </is>
      </c>
      <c r="C29" s="7">
        <f>ROUND(C28*0.1,0)</f>
        <v/>
      </c>
    </row>
    <row r="30">
      <c r="B30" s="8" t="inlineStr">
        <is>
          <t>TOTAL MONTHLY OPERATING COST</t>
        </is>
      </c>
      <c r="C30" s="9">
        <f>C28+C29</f>
        <v/>
      </c>
    </row>
    <row r="32">
      <c r="B32" s="6" t="inlineStr">
        <is>
          <t>Cost per resident per month</t>
        </is>
      </c>
      <c r="C32" s="10">
        <f>C30/10</f>
        <v/>
      </c>
    </row>
    <row r="33">
      <c r="B33" s="6" t="inlineStr">
        <is>
          <t>Cost per 90-day cohort (3 months)</t>
        </is>
      </c>
      <c r="C33" s="11">
        <f>C30*3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Annual Projection (4 Cohorts / Year)</t>
        </is>
      </c>
    </row>
    <row r="3">
      <c r="A3" s="6" t="inlineStr">
        <is>
          <t>Item</t>
        </is>
      </c>
      <c r="B3" s="12" t="inlineStr">
        <is>
          <t>Amount (KES)</t>
        </is>
      </c>
    </row>
    <row r="4">
      <c r="A4" s="13" t="inlineStr">
        <is>
          <t>Monthly operating cost</t>
        </is>
      </c>
      <c r="B4" s="12">
        <f>'Monthly Budget'!C30</f>
        <v/>
      </c>
    </row>
    <row r="5">
      <c r="A5" s="13" t="inlineStr">
        <is>
          <t>Annual operating cost (12 months)</t>
        </is>
      </c>
      <c r="B5" s="10">
        <f>B4*12</f>
        <v/>
      </c>
    </row>
    <row r="6">
      <c r="A6" s="13" t="inlineStr">
        <is>
          <t>Cost per cohort (90 days)</t>
        </is>
      </c>
      <c r="B6" s="10">
        <f>'Monthly Budget'!C33</f>
        <v/>
      </c>
    </row>
    <row r="7">
      <c r="A7" s="13" t="inlineStr">
        <is>
          <t>Annual cohort costs (4 cohorts)</t>
        </is>
      </c>
      <c r="B7" s="10">
        <f>B6*4</f>
        <v/>
      </c>
    </row>
    <row r="8">
      <c r="A8" s="13" t="n"/>
      <c r="B8" s="10" t="n"/>
    </row>
    <row r="9">
      <c r="A9" s="13" t="inlineStr">
        <is>
          <t>Suggested annual fundraising target</t>
        </is>
      </c>
      <c r="B9" s="10">
        <f>B5*1.15</f>
        <v/>
      </c>
    </row>
    <row r="10">
      <c r="A10" s="13" t="inlineStr">
        <is>
          <t>Suggested cost recovery per resident (optional fee)</t>
        </is>
      </c>
      <c r="B10" s="10">
        <f>'Monthly Budget'!C32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28" customWidth="1" min="3" max="3"/>
  </cols>
  <sheetData>
    <row r="1">
      <c r="A1" s="1" t="inlineStr">
        <is>
          <t>One-Time Startup Costs (Estimate)</t>
        </is>
      </c>
    </row>
    <row r="3">
      <c r="A3" s="14" t="inlineStr">
        <is>
          <t>Item</t>
        </is>
      </c>
      <c r="B3" s="14" t="inlineStr">
        <is>
          <t>Cost (KES)</t>
        </is>
      </c>
      <c r="C3" s="14" t="inlineStr">
        <is>
          <t>Notes</t>
        </is>
      </c>
    </row>
    <row r="4">
      <c r="A4" t="inlineStr">
        <is>
          <t>Lease deposit (2 months)</t>
        </is>
      </c>
      <c r="B4" s="15" t="n">
        <v>240000</v>
      </c>
      <c r="C4" t="inlineStr">
        <is>
          <t>Refundable</t>
        </is>
      </c>
    </row>
    <row r="5">
      <c r="A5" t="inlineStr">
        <is>
          <t>Furniture (10 beds, mattresses, lockers)</t>
        </is>
      </c>
      <c r="B5" s="15" t="n">
        <v>200000</v>
      </c>
      <c r="C5" t="inlineStr">
        <is>
          <t>Durable, simple</t>
        </is>
      </c>
    </row>
    <row r="6">
      <c r="A6" t="inlineStr">
        <is>
          <t>Kitchen setup (fridge, cooker, utensils)</t>
        </is>
      </c>
      <c r="B6" s="15" t="n">
        <v>80000</v>
      </c>
      <c r="C6" t="inlineStr"/>
    </row>
    <row r="7">
      <c r="A7" t="inlineStr">
        <is>
          <t>Training room setup (chairs, whiteboard, projector)</t>
        </is>
      </c>
      <c r="B7" s="15" t="n">
        <v>60000</v>
      </c>
      <c r="C7" t="inlineStr"/>
    </row>
    <row r="8">
      <c r="A8" t="inlineStr">
        <is>
          <t>Fitness equipment</t>
        </is>
      </c>
      <c r="B8" s="15" t="n">
        <v>50000</v>
      </c>
      <c r="C8" t="inlineStr">
        <is>
          <t>Basic weights, mats, balls</t>
        </is>
      </c>
    </row>
    <row r="9">
      <c r="A9" t="inlineStr">
        <is>
          <t>Hygiene starter kits (10 residents)</t>
        </is>
      </c>
      <c r="B9" s="15" t="n">
        <v>30000</v>
      </c>
      <c r="C9" t="inlineStr">
        <is>
          <t>Towels, toiletries, grooming</t>
        </is>
      </c>
    </row>
    <row r="10">
      <c r="A10" t="inlineStr">
        <is>
          <t>Legal registration (NGO/CBO)</t>
        </is>
      </c>
      <c r="B10" s="15" t="n">
        <v>50000</v>
      </c>
      <c r="C10" t="inlineStr">
        <is>
          <t>One-time</t>
        </is>
      </c>
    </row>
    <row r="11">
      <c r="A11" t="inlineStr">
        <is>
          <t>Initial food &amp; supplies stock</t>
        </is>
      </c>
      <c r="B11" s="15" t="n">
        <v>50000</v>
      </c>
      <c r="C11" t="inlineStr">
        <is>
          <t>First month buffer</t>
        </is>
      </c>
    </row>
    <row r="12">
      <c r="A12" t="inlineStr">
        <is>
          <t>Branding &amp; signage</t>
        </is>
      </c>
      <c r="B12" s="15" t="n">
        <v>20000</v>
      </c>
      <c r="C12" t="inlineStr"/>
    </row>
    <row r="13">
      <c r="A13" t="inlineStr">
        <is>
          <t>Technology (laptop, printer, app setup)</t>
        </is>
      </c>
      <c r="B13" s="15" t="n">
        <v>80000</v>
      </c>
      <c r="C13" t="inlineStr"/>
    </row>
    <row r="14">
      <c r="A14" s="6" t="inlineStr">
        <is>
          <t>TOTAL STARTUP</t>
        </is>
      </c>
      <c r="B14" s="10">
        <f>SUM(B4:B13)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2026-06-18T07:57:13Z</dcterms:created>
  <dcterms:modified xmlns:dcterms="http://purl.org/dc/terms/" xmlns:xsi="http://www.w3.org/2001/XMLSchema-instance" xsi:type="dcterms:W3CDTF">2026-06-18T07:57:13Z</dcterms:modified>
</cp:coreProperties>
</file>